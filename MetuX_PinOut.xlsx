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adeli/Documents/"/>
    </mc:Choice>
  </mc:AlternateContent>
  <xr:revisionPtr revIDLastSave="0" documentId="13_ncr:1_{DB8ED881-B469-7547-99CC-0EC53F6BCB61}" xr6:coauthVersionLast="47" xr6:coauthVersionMax="47" xr10:uidLastSave="{00000000-0000-0000-0000-000000000000}"/>
  <bookViews>
    <workbookView xWindow="20480" yWindow="-21940" windowWidth="17040" windowHeight="21240" xr2:uid="{77BBE9CB-BCEF-B94E-A8AC-A9F957305860}"/>
  </bookViews>
  <sheets>
    <sheet name="PINOUT" sheetId="1" r:id="rId1"/>
    <sheet name="Clock settings" sheetId="2" r:id="rId2"/>
  </sheets>
  <definedNames>
    <definedName name="_xlnm._FilterDatabase" localSheetId="0" hidden="1">PINOUT!$A$2:$D$2</definedName>
    <definedName name="HCLK">'Clock settings'!$B$9</definedName>
    <definedName name="SYSCLK">'Clock settings'!$B$7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4" i="2" l="1"/>
  <c r="G42" i="2"/>
  <c r="G43" i="2" s="1"/>
  <c r="G37" i="2"/>
  <c r="G38" i="2" s="1"/>
  <c r="G16" i="2"/>
  <c r="G29" i="2"/>
  <c r="G30" i="2" s="1"/>
  <c r="G24" i="2"/>
  <c r="G25" i="2" s="1"/>
  <c r="G15" i="2"/>
  <c r="G10" i="2"/>
  <c r="G11" i="2" s="1"/>
  <c r="G3" i="2"/>
  <c r="B48" i="2"/>
  <c r="B49" i="2" s="1"/>
  <c r="B51" i="2" s="1"/>
  <c r="B53" i="2" s="1"/>
  <c r="B54" i="2" s="1"/>
  <c r="B35" i="2"/>
  <c r="B24" i="2"/>
  <c r="B13" i="2"/>
  <c r="B7" i="2"/>
  <c r="B9" i="2" s="1"/>
  <c r="B14" i="2" s="1"/>
  <c r="B16" i="2" s="1"/>
  <c r="G17" i="2" l="1"/>
  <c r="G31" i="2"/>
  <c r="B36" i="2"/>
  <c r="B38" i="2" s="1"/>
  <c r="B40" i="2" s="1"/>
  <c r="B41" i="2" s="1"/>
  <c r="B25" i="2"/>
  <c r="B27" i="2" s="1"/>
  <c r="B29" i="2" s="1"/>
  <c r="B30" i="2" s="1"/>
  <c r="B18" i="2"/>
  <c r="B19" i="2" s="1"/>
</calcChain>
</file>

<file path=xl/sharedStrings.xml><?xml version="1.0" encoding="utf-8"?>
<sst xmlns="http://schemas.openxmlformats.org/spreadsheetml/2006/main" count="486" uniqueCount="155">
  <si>
    <t>CS1</t>
  </si>
  <si>
    <t>CS2</t>
  </si>
  <si>
    <t>CS3</t>
  </si>
  <si>
    <t>HE1</t>
  </si>
  <si>
    <t>HE2</t>
  </si>
  <si>
    <t>HE3</t>
  </si>
  <si>
    <t>CS0</t>
  </si>
  <si>
    <t>HE0</t>
  </si>
  <si>
    <t>PT0</t>
  </si>
  <si>
    <t>PT1</t>
  </si>
  <si>
    <t>PT2</t>
  </si>
  <si>
    <t>PT3</t>
  </si>
  <si>
    <t>PT4</t>
  </si>
  <si>
    <t>LIDAR</t>
  </si>
  <si>
    <t>SD</t>
  </si>
  <si>
    <t>IMU</t>
  </si>
  <si>
    <t>MD1</t>
  </si>
  <si>
    <t>MD2</t>
  </si>
  <si>
    <t>MD0</t>
  </si>
  <si>
    <t>MD3</t>
  </si>
  <si>
    <t>TLMTR</t>
  </si>
  <si>
    <t>IMU Adafruit 4754</t>
  </si>
  <si>
    <t>Hall Effect 0 Connector</t>
  </si>
  <si>
    <t>Hall Effect 1 Connector</t>
  </si>
  <si>
    <t>Hall Effect 2 Connector</t>
  </si>
  <si>
    <t>Hall Effect 3 Connector</t>
  </si>
  <si>
    <t>Current Sensor 0 Connector</t>
  </si>
  <si>
    <t>Current Sensor 1 Connector</t>
  </si>
  <si>
    <t>Current Sensor 2 Connector</t>
  </si>
  <si>
    <t>Current Sensor 3 Connector</t>
  </si>
  <si>
    <t>Pressure Transducer 0 Connector</t>
  </si>
  <si>
    <t>Pressure Transducer 1 Connector</t>
  </si>
  <si>
    <t>Pressure Transducer 2 Connector</t>
  </si>
  <si>
    <t>Pressure Transducer 3 Connector</t>
  </si>
  <si>
    <t>Pressure Transducer 4 Connector</t>
  </si>
  <si>
    <t>Motor Driver 0 Connector</t>
  </si>
  <si>
    <t>Motor Driver 1 Connector</t>
  </si>
  <si>
    <t>Motor Driver 2 Connector</t>
  </si>
  <si>
    <t>Motor Driver 3 Connector</t>
  </si>
  <si>
    <t>Lidar Connector</t>
  </si>
  <si>
    <t>SD Breakout</t>
  </si>
  <si>
    <t>https://www.robotistan.com/sd-kart-modulu-sd-card-module</t>
  </si>
  <si>
    <t>https://www.e-komponent.com/adafruit-4754-9-dof-orientation-imu-fusion-breakout?srsltid=AfmBOop7IHvpMN8clKxE1YqXtDr1sVZ7U0uc0UJLy-MCIr88DWt4QD4L</t>
  </si>
  <si>
    <t>12V</t>
  </si>
  <si>
    <t>5V</t>
  </si>
  <si>
    <t>3.3V</t>
  </si>
  <si>
    <t>STM32</t>
  </si>
  <si>
    <t>Port</t>
  </si>
  <si>
    <t>TX</t>
  </si>
  <si>
    <t>RX</t>
  </si>
  <si>
    <t>SCK</t>
  </si>
  <si>
    <t>MISO</t>
  </si>
  <si>
    <t>MOSI</t>
  </si>
  <si>
    <t>CS</t>
  </si>
  <si>
    <t>WAKE</t>
  </si>
  <si>
    <t>OUT</t>
  </si>
  <si>
    <t>GND</t>
  </si>
  <si>
    <t>VCC</t>
  </si>
  <si>
    <t>PD6 (USART2)</t>
  </si>
  <si>
    <t>PD5 (USART2)</t>
  </si>
  <si>
    <t>PB15 (USART1)</t>
  </si>
  <si>
    <t>PB6 (USART1)</t>
  </si>
  <si>
    <t>PF14 (ADC2_INP6)</t>
  </si>
  <si>
    <t>PB1 (ADC2_INP5)</t>
  </si>
  <si>
    <t>PA3 (ADC2_INP15)</t>
  </si>
  <si>
    <t>PA5 (ADC1_INP19)</t>
  </si>
  <si>
    <t>PA6 (ADC2_INP3)</t>
  </si>
  <si>
    <t>PA4 (ADC1_INP18)</t>
  </si>
  <si>
    <t>PA0 (ADC1_INP16)</t>
  </si>
  <si>
    <t>PF7 (ADC3_INP3)</t>
  </si>
  <si>
    <t>PF9 (ADC3_INP2)</t>
  </si>
  <si>
    <t>PC2_C (ADC3_INP0)</t>
  </si>
  <si>
    <t>PC3_C (ADC3_INP1)</t>
  </si>
  <si>
    <t>PF10 (ADC3_INP6)</t>
  </si>
  <si>
    <t>PC0 (ADC1_INP10)</t>
  </si>
  <si>
    <t>PB2 (SPI3_MOSI)</t>
  </si>
  <si>
    <t>PC11 (SPI3_MISO)</t>
  </si>
  <si>
    <t>PC10 (SPI3_SCK)</t>
  </si>
  <si>
    <t>PD0 (IMU_WAKE)</t>
  </si>
  <si>
    <t>PC12 (IMU_CS)</t>
  </si>
  <si>
    <t>PWM</t>
  </si>
  <si>
    <t>LEFT_EN</t>
  </si>
  <si>
    <t>RIGHT_EN</t>
  </si>
  <si>
    <t>PE9 (MD0_PWM)</t>
  </si>
  <si>
    <t>PE11 (MD1_PWM)</t>
  </si>
  <si>
    <t>PE13 (MD2_PWM)</t>
  </si>
  <si>
    <t>PE14 (MD3_PWM)</t>
  </si>
  <si>
    <t>PE7 (MD1_LEFT_EN)</t>
  </si>
  <si>
    <t>PE8 (MD2_LEFT_EN)</t>
  </si>
  <si>
    <t>PE10 (MD3_LEFT_EN)</t>
  </si>
  <si>
    <t>PE12 (MD0_RIGHT_EN)</t>
  </si>
  <si>
    <t>PE15 (MD1_RIGHT_EN)</t>
  </si>
  <si>
    <t>PB10 (MD2_RIGHT_EN)</t>
  </si>
  <si>
    <t>PB11 (MD3_RIGHT_EN)</t>
  </si>
  <si>
    <t>433 MHz RF Connector</t>
  </si>
  <si>
    <t>STM32H755ZI-Q</t>
  </si>
  <si>
    <t>Legend</t>
  </si>
  <si>
    <t>3 pin connector</t>
  </si>
  <si>
    <t>4 pin connector</t>
  </si>
  <si>
    <t>https://www.st.com/en/evaluation-tools/nucleo-h755zi-q.html</t>
  </si>
  <si>
    <t>Source</t>
  </si>
  <si>
    <t>Destination</t>
  </si>
  <si>
    <t>Port2</t>
  </si>
  <si>
    <t>Name</t>
  </si>
  <si>
    <t>ID</t>
  </si>
  <si>
    <t>Details</t>
  </si>
  <si>
    <t>MHz</t>
  </si>
  <si>
    <t>kHz</t>
  </si>
  <si>
    <t>us</t>
  </si>
  <si>
    <t>HIS</t>
  </si>
  <si>
    <t>MAIN CLOCK</t>
  </si>
  <si>
    <t>DIVM1</t>
  </si>
  <si>
    <t>DIVN1</t>
  </si>
  <si>
    <t>DIVP1</t>
  </si>
  <si>
    <t>/</t>
  </si>
  <si>
    <t>×</t>
  </si>
  <si>
    <t>SYSCLK</t>
  </si>
  <si>
    <t>TIM2</t>
  </si>
  <si>
    <t>Prescalar</t>
  </si>
  <si>
    <t>Period</t>
  </si>
  <si>
    <t>Freq</t>
  </si>
  <si>
    <t>TIM3</t>
  </si>
  <si>
    <t>TIM4</t>
  </si>
  <si>
    <t>HCLK</t>
  </si>
  <si>
    <t>HPRE</t>
  </si>
  <si>
    <t>Desired</t>
  </si>
  <si>
    <t>Pre*Period</t>
  </si>
  <si>
    <t>enc</t>
  </si>
  <si>
    <t>cur</t>
  </si>
  <si>
    <t>pres</t>
  </si>
  <si>
    <t>TIM1</t>
  </si>
  <si>
    <t>PE10 (MD0_LEFT_EN)</t>
  </si>
  <si>
    <t>port color on JST-XH</t>
  </si>
  <si>
    <t>port color on JST-SM</t>
  </si>
  <si>
    <t>TBD</t>
  </si>
  <si>
    <t>LC0</t>
  </si>
  <si>
    <t>Load Cell 0 Connector</t>
  </si>
  <si>
    <t>DT</t>
  </si>
  <si>
    <t>PG12</t>
  </si>
  <si>
    <t>PG9</t>
  </si>
  <si>
    <t>ADC CLOCK</t>
  </si>
  <si>
    <t>Clock Prescaler</t>
  </si>
  <si>
    <t>ADC clock</t>
  </si>
  <si>
    <t>Buffer rate</t>
  </si>
  <si>
    <t>ADC1 ENC</t>
  </si>
  <si>
    <t>Element count</t>
  </si>
  <si>
    <t>Timer Des</t>
  </si>
  <si>
    <t>Sequence allowance</t>
  </si>
  <si>
    <t>Sampling Time</t>
  </si>
  <si>
    <t>Tot</t>
  </si>
  <si>
    <t>cycle</t>
  </si>
  <si>
    <t>Single conv time</t>
  </si>
  <si>
    <t>Sequence time</t>
  </si>
  <si>
    <t>ADC2 CUR</t>
  </si>
  <si>
    <t>ADC3 PRES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</si>
</sst>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2"/>
      <color theme="1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  <font>
      <u/>
      <sz val="12"/>
      <color theme="10"/>
      <name val="Aptos Narrow"/>
      <family val="2"/>
      <charset val="162"/>
      <scheme val="minor"/>
    </font>
    <font>
      <sz val="12"/>
      <color theme="1"/>
      <name val="Aptos Narrow"/>
      <family val="2"/>
      <charset val="162"/>
      <scheme val="minor"/>
    </font>
    <font>
      <sz val="12"/>
      <color rgb="FF3F3F76"/>
      <name val="Aptos Narrow"/>
      <family val="2"/>
      <charset val="162"/>
      <scheme val="minor"/>
    </font>
    <font>
      <b/>
      <sz val="12"/>
      <color rgb="FF3F3F3F"/>
      <name val="Aptos Narrow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4" fillId="2" borderId="1" applyNumberFormat="0" applyAlignment="0" applyProtection="0"/>
    <xf numFmtId="0" fontId="5" fillId="3" borderId="2" applyNumberFormat="0" applyAlignment="0" applyProtection="0"/>
  </cellStyleXfs>
  <cellXfs count="8">
    <xf numFmtId="0" fontId="0" fillId="0" borderId="0" xfId="0"/>
    <xf numFmtId="0" fontId="2" fillId="0" borderId="0" xfId="1"/>
    <xf numFmtId="11" fontId="0" fillId="0" borderId="0" xfId="0" applyNumberFormat="1"/>
    <xf numFmtId="164" fontId="0" fillId="0" borderId="0" xfId="2" applyNumberFormat="1" applyFont="1"/>
    <xf numFmtId="43" fontId="0" fillId="0" borderId="0" xfId="0" applyNumberFormat="1"/>
    <xf numFmtId="0" fontId="4" fillId="2" borderId="1" xfId="3"/>
    <xf numFmtId="0" fontId="5" fillId="3" borderId="2" xfId="4"/>
    <xf numFmtId="0" fontId="0" fillId="4" borderId="0" xfId="0" applyFill="1"/>
  </cellXfs>
  <cellStyles count="5">
    <cellStyle name="Çıkış" xfId="4" builtinId="21"/>
    <cellStyle name="Giriş" xfId="3" builtinId="20"/>
    <cellStyle name="Köprü" xfId="1" builtinId="8"/>
    <cellStyle name="Normal" xfId="0" builtinId="0"/>
    <cellStyle name="Virgül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34C01F-81C3-8340-8684-AEED65082797}" name="Tablo1" displayName="Tablo1" ref="A2:F77" totalsRowShown="0">
  <autoFilter ref="A2:F77" xr:uid="{2734C01F-81C3-8340-8684-AEED65082797}"/>
  <sortState xmlns:xlrd2="http://schemas.microsoft.com/office/spreadsheetml/2017/richdata2" ref="A3:D73">
    <sortCondition ref="A2:A73"/>
  </sortState>
  <tableColumns count="6">
    <tableColumn id="1" xr3:uid="{D27D8B94-6C2C-524A-AD74-23716E280D5C}" name="Source"/>
    <tableColumn id="2" xr3:uid="{B8E035A3-DB4D-D940-85CD-C658C52A1CED}" name="Port"/>
    <tableColumn id="3" xr3:uid="{EF291DAF-7055-5844-859A-48A91C72ACDF}" name="Destination"/>
    <tableColumn id="4" xr3:uid="{344DC30F-A776-4A45-A807-4640FABE42C7}" name="Port2"/>
    <tableColumn id="5" xr3:uid="{25B5C2B0-9E80-6946-BEA0-614375F758C1}" name="port color on JST-XH"/>
    <tableColumn id="6" xr3:uid="{497E6F91-00B2-B646-BAC9-7BB49E30AA3D}" name="port color on JST-SM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31A379F-C10C-4B44-BAFB-E3A868649C5A}" name="Tablo5" displayName="Tablo5" ref="H2:J25" totalsRowShown="0">
  <autoFilter ref="H2:J25" xr:uid="{731A379F-C10C-4B44-BAFB-E3A868649C5A}"/>
  <tableColumns count="3">
    <tableColumn id="1" xr3:uid="{47D898EF-C6F8-824F-9FBC-EBDD0C849C35}" name="ID"/>
    <tableColumn id="2" xr3:uid="{3301D14D-77FC-CF4E-AFEE-27C5AAB8D43E}" name="Name"/>
    <tableColumn id="3" xr3:uid="{F59097D8-88EE-F84E-B378-27D0F216A1A6}" name="Details" dataCellStyle="Köprü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t.com/en/evaluation-tools/nucleo-h755zi-q.html" TargetMode="External"/><Relationship Id="rId2" Type="http://schemas.openxmlformats.org/officeDocument/2006/relationships/hyperlink" Target="https://www.robotistan.com/sd-kart-modulu-sd-card-module" TargetMode="External"/><Relationship Id="rId1" Type="http://schemas.openxmlformats.org/officeDocument/2006/relationships/hyperlink" Target="https://www.e-komponent.com/adafruit-4754-9-dof-orientation-imu-fusion-breakout?srsltid=AfmBOop7IHvpMN8clKxE1YqXtDr1sVZ7U0uc0UJLy-MCIr88DWt4QD4L" TargetMode="Externa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49036-90A9-D44C-AA43-A1F083F9B812}">
  <dimension ref="A1:J77"/>
  <sheetViews>
    <sheetView tabSelected="1" topLeftCell="E1" zoomScale="112" workbookViewId="0">
      <selection activeCell="F25" sqref="F25:F26"/>
    </sheetView>
  </sheetViews>
  <sheetFormatPr baseColWidth="10" defaultRowHeight="16" x14ac:dyDescent="0.2"/>
  <cols>
    <col min="2" max="2" width="14.33203125" bestFit="1" customWidth="1"/>
    <col min="3" max="3" width="10.1640625" customWidth="1"/>
    <col min="4" max="4" width="18" bestFit="1" customWidth="1"/>
    <col min="5" max="5" width="17.1640625" bestFit="1" customWidth="1"/>
    <col min="6" max="6" width="26.6640625" bestFit="1" customWidth="1"/>
    <col min="9" max="9" width="28.33203125" bestFit="1" customWidth="1"/>
    <col min="10" max="10" width="14.6640625" customWidth="1"/>
  </cols>
  <sheetData>
    <row r="1" spans="1:10" x14ac:dyDescent="0.2">
      <c r="I1" t="s">
        <v>96</v>
      </c>
    </row>
    <row r="2" spans="1:10" x14ac:dyDescent="0.2">
      <c r="A2" t="s">
        <v>100</v>
      </c>
      <c r="B2" t="s">
        <v>47</v>
      </c>
      <c r="C2" t="s">
        <v>101</v>
      </c>
      <c r="D2" t="s">
        <v>102</v>
      </c>
      <c r="E2" t="s">
        <v>132</v>
      </c>
      <c r="F2" t="s">
        <v>133</v>
      </c>
      <c r="H2" t="s">
        <v>104</v>
      </c>
      <c r="I2" t="s">
        <v>103</v>
      </c>
      <c r="J2" t="s">
        <v>105</v>
      </c>
    </row>
    <row r="3" spans="1:10" x14ac:dyDescent="0.2">
      <c r="A3" t="s">
        <v>6</v>
      </c>
      <c r="B3" t="s">
        <v>55</v>
      </c>
      <c r="C3" t="s">
        <v>46</v>
      </c>
      <c r="D3" s="7" t="s">
        <v>66</v>
      </c>
      <c r="E3" t="s">
        <v>134</v>
      </c>
      <c r="F3" t="s">
        <v>134</v>
      </c>
      <c r="H3" t="s">
        <v>7</v>
      </c>
      <c r="I3" t="s">
        <v>22</v>
      </c>
      <c r="J3" t="s">
        <v>97</v>
      </c>
    </row>
    <row r="4" spans="1:10" x14ac:dyDescent="0.2">
      <c r="A4" t="s">
        <v>6</v>
      </c>
      <c r="B4" t="s">
        <v>56</v>
      </c>
      <c r="C4" t="s">
        <v>56</v>
      </c>
      <c r="E4" t="s">
        <v>134</v>
      </c>
      <c r="F4" t="s">
        <v>134</v>
      </c>
      <c r="H4" t="s">
        <v>3</v>
      </c>
      <c r="I4" t="s">
        <v>23</v>
      </c>
      <c r="J4" t="s">
        <v>97</v>
      </c>
    </row>
    <row r="5" spans="1:10" x14ac:dyDescent="0.2">
      <c r="A5" t="s">
        <v>6</v>
      </c>
      <c r="B5" t="s">
        <v>57</v>
      </c>
      <c r="C5" t="s">
        <v>44</v>
      </c>
      <c r="E5" t="s">
        <v>134</v>
      </c>
      <c r="F5" t="s">
        <v>134</v>
      </c>
      <c r="H5" t="s">
        <v>4</v>
      </c>
      <c r="I5" t="s">
        <v>24</v>
      </c>
      <c r="J5" t="s">
        <v>97</v>
      </c>
    </row>
    <row r="6" spans="1:10" x14ac:dyDescent="0.2">
      <c r="A6" t="s">
        <v>0</v>
      </c>
      <c r="B6" t="s">
        <v>55</v>
      </c>
      <c r="C6" t="s">
        <v>46</v>
      </c>
      <c r="D6" t="s">
        <v>63</v>
      </c>
      <c r="H6" t="s">
        <v>5</v>
      </c>
      <c r="I6" t="s">
        <v>25</v>
      </c>
      <c r="J6" t="s">
        <v>97</v>
      </c>
    </row>
    <row r="7" spans="1:10" x14ac:dyDescent="0.2">
      <c r="A7" t="s">
        <v>0</v>
      </c>
      <c r="B7" t="s">
        <v>56</v>
      </c>
      <c r="C7" t="s">
        <v>56</v>
      </c>
      <c r="H7" t="s">
        <v>6</v>
      </c>
      <c r="I7" t="s">
        <v>26</v>
      </c>
      <c r="J7" t="s">
        <v>97</v>
      </c>
    </row>
    <row r="8" spans="1:10" x14ac:dyDescent="0.2">
      <c r="A8" t="s">
        <v>0</v>
      </c>
      <c r="B8" t="s">
        <v>57</v>
      </c>
      <c r="C8" t="s">
        <v>44</v>
      </c>
      <c r="H8" t="s">
        <v>0</v>
      </c>
      <c r="I8" t="s">
        <v>27</v>
      </c>
      <c r="J8" t="s">
        <v>97</v>
      </c>
    </row>
    <row r="9" spans="1:10" x14ac:dyDescent="0.2">
      <c r="A9" t="s">
        <v>1</v>
      </c>
      <c r="B9" t="s">
        <v>55</v>
      </c>
      <c r="C9" t="s">
        <v>46</v>
      </c>
      <c r="D9" t="s">
        <v>62</v>
      </c>
      <c r="H9" t="s">
        <v>1</v>
      </c>
      <c r="I9" t="s">
        <v>28</v>
      </c>
      <c r="J9" t="s">
        <v>97</v>
      </c>
    </row>
    <row r="10" spans="1:10" x14ac:dyDescent="0.2">
      <c r="A10" t="s">
        <v>1</v>
      </c>
      <c r="B10" t="s">
        <v>56</v>
      </c>
      <c r="C10" t="s">
        <v>56</v>
      </c>
      <c r="H10" t="s">
        <v>2</v>
      </c>
      <c r="I10" t="s">
        <v>29</v>
      </c>
      <c r="J10" t="s">
        <v>97</v>
      </c>
    </row>
    <row r="11" spans="1:10" x14ac:dyDescent="0.2">
      <c r="A11" t="s">
        <v>1</v>
      </c>
      <c r="B11" t="s">
        <v>57</v>
      </c>
      <c r="C11" t="s">
        <v>44</v>
      </c>
      <c r="H11" t="s">
        <v>8</v>
      </c>
      <c r="I11" t="s">
        <v>30</v>
      </c>
      <c r="J11" t="s">
        <v>97</v>
      </c>
    </row>
    <row r="12" spans="1:10" x14ac:dyDescent="0.2">
      <c r="A12" t="s">
        <v>2</v>
      </c>
      <c r="B12" t="s">
        <v>55</v>
      </c>
      <c r="C12" t="s">
        <v>46</v>
      </c>
      <c r="D12" t="s">
        <v>64</v>
      </c>
      <c r="H12" t="s">
        <v>9</v>
      </c>
      <c r="I12" t="s">
        <v>31</v>
      </c>
      <c r="J12" t="s">
        <v>97</v>
      </c>
    </row>
    <row r="13" spans="1:10" x14ac:dyDescent="0.2">
      <c r="A13" t="s">
        <v>2</v>
      </c>
      <c r="B13" t="s">
        <v>56</v>
      </c>
      <c r="C13" t="s">
        <v>56</v>
      </c>
      <c r="H13" t="s">
        <v>10</v>
      </c>
      <c r="I13" t="s">
        <v>32</v>
      </c>
      <c r="J13" t="s">
        <v>97</v>
      </c>
    </row>
    <row r="14" spans="1:10" x14ac:dyDescent="0.2">
      <c r="A14" t="s">
        <v>2</v>
      </c>
      <c r="B14" t="s">
        <v>57</v>
      </c>
      <c r="C14" t="s">
        <v>44</v>
      </c>
      <c r="H14" t="s">
        <v>11</v>
      </c>
      <c r="I14" t="s">
        <v>33</v>
      </c>
      <c r="J14" t="s">
        <v>97</v>
      </c>
    </row>
    <row r="15" spans="1:10" x14ac:dyDescent="0.2">
      <c r="A15" t="s">
        <v>7</v>
      </c>
      <c r="B15" t="s">
        <v>55</v>
      </c>
      <c r="C15" t="s">
        <v>46</v>
      </c>
      <c r="D15" t="s">
        <v>74</v>
      </c>
      <c r="H15" t="s">
        <v>12</v>
      </c>
      <c r="I15" t="s">
        <v>34</v>
      </c>
      <c r="J15" t="s">
        <v>97</v>
      </c>
    </row>
    <row r="16" spans="1:10" x14ac:dyDescent="0.2">
      <c r="A16" t="s">
        <v>7</v>
      </c>
      <c r="B16" t="s">
        <v>56</v>
      </c>
      <c r="C16" t="s">
        <v>56</v>
      </c>
      <c r="H16" t="s">
        <v>18</v>
      </c>
      <c r="I16" t="s">
        <v>35</v>
      </c>
      <c r="J16" t="s">
        <v>98</v>
      </c>
    </row>
    <row r="17" spans="1:10" x14ac:dyDescent="0.2">
      <c r="A17" t="s">
        <v>7</v>
      </c>
      <c r="B17" t="s">
        <v>57</v>
      </c>
      <c r="C17" t="s">
        <v>45</v>
      </c>
      <c r="H17" t="s">
        <v>16</v>
      </c>
      <c r="I17" t="s">
        <v>36</v>
      </c>
      <c r="J17" t="s">
        <v>98</v>
      </c>
    </row>
    <row r="18" spans="1:10" x14ac:dyDescent="0.2">
      <c r="A18" t="s">
        <v>3</v>
      </c>
      <c r="B18" t="s">
        <v>55</v>
      </c>
      <c r="C18" t="s">
        <v>46</v>
      </c>
      <c r="D18" t="s">
        <v>68</v>
      </c>
      <c r="E18" t="s">
        <v>134</v>
      </c>
      <c r="F18" t="s">
        <v>134</v>
      </c>
      <c r="H18" t="s">
        <v>17</v>
      </c>
      <c r="I18" t="s">
        <v>37</v>
      </c>
      <c r="J18" t="s">
        <v>98</v>
      </c>
    </row>
    <row r="19" spans="1:10" x14ac:dyDescent="0.2">
      <c r="A19" t="s">
        <v>3</v>
      </c>
      <c r="B19" t="s">
        <v>56</v>
      </c>
      <c r="C19" t="s">
        <v>56</v>
      </c>
      <c r="E19" t="s">
        <v>134</v>
      </c>
      <c r="F19" t="s">
        <v>134</v>
      </c>
      <c r="H19" t="s">
        <v>19</v>
      </c>
      <c r="I19" t="s">
        <v>38</v>
      </c>
      <c r="J19" t="s">
        <v>98</v>
      </c>
    </row>
    <row r="20" spans="1:10" x14ac:dyDescent="0.2">
      <c r="A20" t="s">
        <v>3</v>
      </c>
      <c r="B20" t="s">
        <v>57</v>
      </c>
      <c r="C20" t="s">
        <v>45</v>
      </c>
      <c r="E20" t="s">
        <v>134</v>
      </c>
      <c r="F20" t="s">
        <v>134</v>
      </c>
      <c r="H20" t="s">
        <v>20</v>
      </c>
      <c r="I20" t="s">
        <v>94</v>
      </c>
      <c r="J20" t="s">
        <v>98</v>
      </c>
    </row>
    <row r="21" spans="1:10" x14ac:dyDescent="0.2">
      <c r="A21" t="s">
        <v>4</v>
      </c>
      <c r="B21" t="s">
        <v>55</v>
      </c>
      <c r="C21" t="s">
        <v>46</v>
      </c>
      <c r="D21" t="s">
        <v>67</v>
      </c>
      <c r="H21" t="s">
        <v>13</v>
      </c>
      <c r="I21" t="s">
        <v>39</v>
      </c>
      <c r="J21" t="s">
        <v>98</v>
      </c>
    </row>
    <row r="22" spans="1:10" x14ac:dyDescent="0.2">
      <c r="A22" t="s">
        <v>4</v>
      </c>
      <c r="B22" t="s">
        <v>56</v>
      </c>
      <c r="C22" t="s">
        <v>56</v>
      </c>
      <c r="H22" t="s">
        <v>15</v>
      </c>
      <c r="I22" t="s">
        <v>21</v>
      </c>
      <c r="J22" s="1" t="s">
        <v>42</v>
      </c>
    </row>
    <row r="23" spans="1:10" x14ac:dyDescent="0.2">
      <c r="A23" t="s">
        <v>4</v>
      </c>
      <c r="B23" t="s">
        <v>57</v>
      </c>
      <c r="C23" t="s">
        <v>45</v>
      </c>
      <c r="H23" t="s">
        <v>14</v>
      </c>
      <c r="I23" t="s">
        <v>40</v>
      </c>
      <c r="J23" s="1" t="s">
        <v>41</v>
      </c>
    </row>
    <row r="24" spans="1:10" x14ac:dyDescent="0.2">
      <c r="A24" t="s">
        <v>5</v>
      </c>
      <c r="B24" t="s">
        <v>55</v>
      </c>
      <c r="C24" t="s">
        <v>46</v>
      </c>
      <c r="D24" t="s">
        <v>65</v>
      </c>
      <c r="H24" t="s">
        <v>46</v>
      </c>
      <c r="I24" t="s">
        <v>95</v>
      </c>
      <c r="J24" s="1" t="s">
        <v>99</v>
      </c>
    </row>
    <row r="25" spans="1:10" x14ac:dyDescent="0.2">
      <c r="A25" t="s">
        <v>5</v>
      </c>
      <c r="B25" t="s">
        <v>56</v>
      </c>
      <c r="C25" t="s">
        <v>56</v>
      </c>
      <c r="H25" t="s">
        <v>135</v>
      </c>
      <c r="I25" t="s">
        <v>136</v>
      </c>
      <c r="J25" t="s">
        <v>98</v>
      </c>
    </row>
    <row r="26" spans="1:10" x14ac:dyDescent="0.2">
      <c r="A26" t="s">
        <v>5</v>
      </c>
      <c r="B26" t="s">
        <v>57</v>
      </c>
      <c r="C26" t="s">
        <v>45</v>
      </c>
    </row>
    <row r="27" spans="1:10" x14ac:dyDescent="0.2">
      <c r="A27" t="s">
        <v>15</v>
      </c>
      <c r="B27" t="s">
        <v>52</v>
      </c>
      <c r="C27" t="s">
        <v>46</v>
      </c>
      <c r="D27" t="s">
        <v>75</v>
      </c>
    </row>
    <row r="28" spans="1:10" x14ac:dyDescent="0.2">
      <c r="A28" t="s">
        <v>15</v>
      </c>
      <c r="B28" t="s">
        <v>50</v>
      </c>
      <c r="C28" t="s">
        <v>46</v>
      </c>
      <c r="D28" t="s">
        <v>77</v>
      </c>
    </row>
    <row r="29" spans="1:10" x14ac:dyDescent="0.2">
      <c r="A29" t="s">
        <v>15</v>
      </c>
      <c r="B29" t="s">
        <v>51</v>
      </c>
      <c r="C29" t="s">
        <v>46</v>
      </c>
      <c r="D29" t="s">
        <v>76</v>
      </c>
    </row>
    <row r="30" spans="1:10" x14ac:dyDescent="0.2">
      <c r="A30" t="s">
        <v>15</v>
      </c>
      <c r="B30" t="s">
        <v>53</v>
      </c>
      <c r="C30" t="s">
        <v>46</v>
      </c>
      <c r="D30" t="s">
        <v>79</v>
      </c>
    </row>
    <row r="31" spans="1:10" x14ac:dyDescent="0.2">
      <c r="A31" t="s">
        <v>15</v>
      </c>
      <c r="B31" t="s">
        <v>54</v>
      </c>
      <c r="C31" t="s">
        <v>46</v>
      </c>
      <c r="D31" t="s">
        <v>78</v>
      </c>
    </row>
    <row r="32" spans="1:10" x14ac:dyDescent="0.2">
      <c r="A32" t="s">
        <v>15</v>
      </c>
      <c r="B32" t="s">
        <v>56</v>
      </c>
      <c r="C32" t="s">
        <v>56</v>
      </c>
    </row>
    <row r="33" spans="1:6" x14ac:dyDescent="0.2">
      <c r="A33" t="s">
        <v>15</v>
      </c>
      <c r="B33" t="s">
        <v>57</v>
      </c>
      <c r="C33" t="s">
        <v>45</v>
      </c>
    </row>
    <row r="34" spans="1:6" x14ac:dyDescent="0.2">
      <c r="A34" t="s">
        <v>13</v>
      </c>
      <c r="B34" t="s">
        <v>49</v>
      </c>
      <c r="C34" t="s">
        <v>46</v>
      </c>
      <c r="D34" t="s">
        <v>59</v>
      </c>
    </row>
    <row r="35" spans="1:6" x14ac:dyDescent="0.2">
      <c r="A35" t="s">
        <v>13</v>
      </c>
      <c r="B35" t="s">
        <v>48</v>
      </c>
      <c r="C35" t="s">
        <v>46</v>
      </c>
      <c r="D35" t="s">
        <v>58</v>
      </c>
    </row>
    <row r="36" spans="1:6" x14ac:dyDescent="0.2">
      <c r="A36" t="s">
        <v>13</v>
      </c>
      <c r="B36" t="s">
        <v>56</v>
      </c>
      <c r="C36" t="s">
        <v>56</v>
      </c>
    </row>
    <row r="37" spans="1:6" x14ac:dyDescent="0.2">
      <c r="A37" t="s">
        <v>13</v>
      </c>
      <c r="B37" t="s">
        <v>57</v>
      </c>
      <c r="C37" t="s">
        <v>44</v>
      </c>
    </row>
    <row r="38" spans="1:6" x14ac:dyDescent="0.2">
      <c r="A38" t="s">
        <v>18</v>
      </c>
      <c r="B38" t="s">
        <v>82</v>
      </c>
      <c r="C38" t="s">
        <v>46</v>
      </c>
      <c r="D38" t="s">
        <v>90</v>
      </c>
      <c r="E38" t="s">
        <v>134</v>
      </c>
      <c r="F38" t="s">
        <v>134</v>
      </c>
    </row>
    <row r="39" spans="1:6" x14ac:dyDescent="0.2">
      <c r="A39" t="s">
        <v>18</v>
      </c>
      <c r="B39" t="s">
        <v>80</v>
      </c>
      <c r="C39" t="s">
        <v>46</v>
      </c>
      <c r="D39" t="s">
        <v>83</v>
      </c>
      <c r="E39" t="s">
        <v>134</v>
      </c>
      <c r="F39" t="s">
        <v>134</v>
      </c>
    </row>
    <row r="40" spans="1:6" x14ac:dyDescent="0.2">
      <c r="A40" t="s">
        <v>18</v>
      </c>
      <c r="B40" t="s">
        <v>81</v>
      </c>
      <c r="C40" t="s">
        <v>46</v>
      </c>
      <c r="D40" t="s">
        <v>131</v>
      </c>
      <c r="E40" t="s">
        <v>134</v>
      </c>
      <c r="F40" t="s">
        <v>134</v>
      </c>
    </row>
    <row r="41" spans="1:6" x14ac:dyDescent="0.2">
      <c r="A41" t="s">
        <v>18</v>
      </c>
      <c r="B41" t="s">
        <v>56</v>
      </c>
      <c r="C41" t="s">
        <v>56</v>
      </c>
      <c r="E41" t="s">
        <v>134</v>
      </c>
      <c r="F41" t="s">
        <v>134</v>
      </c>
    </row>
    <row r="42" spans="1:6" x14ac:dyDescent="0.2">
      <c r="A42" t="s">
        <v>16</v>
      </c>
      <c r="B42" t="s">
        <v>80</v>
      </c>
      <c r="C42" t="s">
        <v>46</v>
      </c>
      <c r="D42" t="s">
        <v>84</v>
      </c>
    </row>
    <row r="43" spans="1:6" x14ac:dyDescent="0.2">
      <c r="A43" t="s">
        <v>16</v>
      </c>
      <c r="B43" t="s">
        <v>82</v>
      </c>
      <c r="C43" t="s">
        <v>46</v>
      </c>
      <c r="D43" t="s">
        <v>91</v>
      </c>
    </row>
    <row r="44" spans="1:6" x14ac:dyDescent="0.2">
      <c r="A44" t="s">
        <v>16</v>
      </c>
      <c r="B44" t="s">
        <v>81</v>
      </c>
      <c r="C44" t="s">
        <v>46</v>
      </c>
      <c r="D44" t="s">
        <v>87</v>
      </c>
    </row>
    <row r="45" spans="1:6" x14ac:dyDescent="0.2">
      <c r="A45" t="s">
        <v>16</v>
      </c>
      <c r="B45" t="s">
        <v>56</v>
      </c>
      <c r="C45" t="s">
        <v>56</v>
      </c>
    </row>
    <row r="46" spans="1:6" x14ac:dyDescent="0.2">
      <c r="A46" t="s">
        <v>17</v>
      </c>
      <c r="B46" t="s">
        <v>82</v>
      </c>
      <c r="C46" t="s">
        <v>46</v>
      </c>
      <c r="D46" t="s">
        <v>92</v>
      </c>
    </row>
    <row r="47" spans="1:6" x14ac:dyDescent="0.2">
      <c r="A47" t="s">
        <v>17</v>
      </c>
      <c r="B47" t="s">
        <v>80</v>
      </c>
      <c r="C47" t="s">
        <v>46</v>
      </c>
      <c r="D47" t="s">
        <v>85</v>
      </c>
    </row>
    <row r="48" spans="1:6" x14ac:dyDescent="0.2">
      <c r="A48" t="s">
        <v>17</v>
      </c>
      <c r="B48" t="s">
        <v>81</v>
      </c>
      <c r="C48" t="s">
        <v>46</v>
      </c>
      <c r="D48" t="s">
        <v>88</v>
      </c>
    </row>
    <row r="49" spans="1:6" x14ac:dyDescent="0.2">
      <c r="A49" t="s">
        <v>17</v>
      </c>
      <c r="B49" t="s">
        <v>56</v>
      </c>
      <c r="C49" t="s">
        <v>56</v>
      </c>
    </row>
    <row r="50" spans="1:6" x14ac:dyDescent="0.2">
      <c r="A50" t="s">
        <v>19</v>
      </c>
      <c r="B50" t="s">
        <v>82</v>
      </c>
      <c r="C50" t="s">
        <v>46</v>
      </c>
      <c r="D50" t="s">
        <v>93</v>
      </c>
    </row>
    <row r="51" spans="1:6" x14ac:dyDescent="0.2">
      <c r="A51" t="s">
        <v>19</v>
      </c>
      <c r="B51" t="s">
        <v>81</v>
      </c>
      <c r="C51" t="s">
        <v>46</v>
      </c>
      <c r="D51" t="s">
        <v>89</v>
      </c>
    </row>
    <row r="52" spans="1:6" x14ac:dyDescent="0.2">
      <c r="A52" t="s">
        <v>19</v>
      </c>
      <c r="B52" t="s">
        <v>80</v>
      </c>
      <c r="C52" t="s">
        <v>46</v>
      </c>
      <c r="D52" t="s">
        <v>86</v>
      </c>
    </row>
    <row r="53" spans="1:6" x14ac:dyDescent="0.2">
      <c r="A53" t="s">
        <v>19</v>
      </c>
      <c r="B53" t="s">
        <v>56</v>
      </c>
      <c r="C53" t="s">
        <v>56</v>
      </c>
    </row>
    <row r="54" spans="1:6" x14ac:dyDescent="0.2">
      <c r="A54" t="s">
        <v>8</v>
      </c>
      <c r="B54" t="s">
        <v>55</v>
      </c>
      <c r="C54" t="s">
        <v>46</v>
      </c>
      <c r="D54" t="s">
        <v>71</v>
      </c>
      <c r="E54" t="s">
        <v>134</v>
      </c>
      <c r="F54" t="s">
        <v>134</v>
      </c>
    </row>
    <row r="55" spans="1:6" x14ac:dyDescent="0.2">
      <c r="A55" t="s">
        <v>8</v>
      </c>
      <c r="B55" t="s">
        <v>57</v>
      </c>
      <c r="C55" t="s">
        <v>43</v>
      </c>
      <c r="E55" t="s">
        <v>134</v>
      </c>
      <c r="F55" t="s">
        <v>134</v>
      </c>
    </row>
    <row r="56" spans="1:6" x14ac:dyDescent="0.2">
      <c r="A56" t="s">
        <v>9</v>
      </c>
      <c r="B56" t="s">
        <v>55</v>
      </c>
      <c r="C56" t="s">
        <v>46</v>
      </c>
      <c r="D56" t="s">
        <v>72</v>
      </c>
      <c r="F56" s="2"/>
    </row>
    <row r="57" spans="1:6" x14ac:dyDescent="0.2">
      <c r="A57" t="s">
        <v>9</v>
      </c>
      <c r="B57" t="s">
        <v>57</v>
      </c>
      <c r="C57" t="s">
        <v>43</v>
      </c>
      <c r="F57" s="3"/>
    </row>
    <row r="58" spans="1:6" x14ac:dyDescent="0.2">
      <c r="A58" t="s">
        <v>10</v>
      </c>
      <c r="B58" t="s">
        <v>55</v>
      </c>
      <c r="C58" t="s">
        <v>46</v>
      </c>
      <c r="D58" t="s">
        <v>70</v>
      </c>
      <c r="F58" s="4"/>
    </row>
    <row r="59" spans="1:6" x14ac:dyDescent="0.2">
      <c r="A59" t="s">
        <v>10</v>
      </c>
      <c r="B59" t="s">
        <v>57</v>
      </c>
      <c r="C59" t="s">
        <v>43</v>
      </c>
    </row>
    <row r="60" spans="1:6" x14ac:dyDescent="0.2">
      <c r="A60" t="s">
        <v>11</v>
      </c>
      <c r="B60" t="s">
        <v>55</v>
      </c>
      <c r="C60" t="s">
        <v>46</v>
      </c>
      <c r="D60" t="s">
        <v>69</v>
      </c>
    </row>
    <row r="61" spans="1:6" x14ac:dyDescent="0.2">
      <c r="A61" t="s">
        <v>11</v>
      </c>
      <c r="B61" t="s">
        <v>57</v>
      </c>
      <c r="C61" t="s">
        <v>43</v>
      </c>
    </row>
    <row r="62" spans="1:6" x14ac:dyDescent="0.2">
      <c r="A62" t="s">
        <v>12</v>
      </c>
      <c r="B62" t="s">
        <v>55</v>
      </c>
      <c r="C62" t="s">
        <v>46</v>
      </c>
      <c r="D62" t="s">
        <v>73</v>
      </c>
    </row>
    <row r="63" spans="1:6" x14ac:dyDescent="0.2">
      <c r="A63" t="s">
        <v>12</v>
      </c>
      <c r="B63" t="s">
        <v>57</v>
      </c>
      <c r="C63" t="s">
        <v>43</v>
      </c>
    </row>
    <row r="64" spans="1:6" x14ac:dyDescent="0.2">
      <c r="A64" t="s">
        <v>14</v>
      </c>
      <c r="B64" t="s">
        <v>50</v>
      </c>
      <c r="C64" t="s">
        <v>46</v>
      </c>
    </row>
    <row r="65" spans="1:6" x14ac:dyDescent="0.2">
      <c r="A65" t="s">
        <v>14</v>
      </c>
      <c r="B65" t="s">
        <v>52</v>
      </c>
      <c r="C65" t="s">
        <v>46</v>
      </c>
    </row>
    <row r="66" spans="1:6" x14ac:dyDescent="0.2">
      <c r="A66" t="s">
        <v>14</v>
      </c>
      <c r="B66" t="s">
        <v>53</v>
      </c>
      <c r="C66" t="s">
        <v>46</v>
      </c>
    </row>
    <row r="67" spans="1:6" x14ac:dyDescent="0.2">
      <c r="A67" t="s">
        <v>14</v>
      </c>
      <c r="B67" t="s">
        <v>51</v>
      </c>
      <c r="C67" t="s">
        <v>46</v>
      </c>
    </row>
    <row r="68" spans="1:6" x14ac:dyDescent="0.2">
      <c r="A68" t="s">
        <v>14</v>
      </c>
      <c r="B68" t="s">
        <v>56</v>
      </c>
      <c r="C68" t="s">
        <v>56</v>
      </c>
    </row>
    <row r="69" spans="1:6" x14ac:dyDescent="0.2">
      <c r="A69" t="s">
        <v>14</v>
      </c>
      <c r="B69" t="s">
        <v>57</v>
      </c>
      <c r="C69" t="s">
        <v>45</v>
      </c>
    </row>
    <row r="70" spans="1:6" x14ac:dyDescent="0.2">
      <c r="A70" t="s">
        <v>20</v>
      </c>
      <c r="B70" t="s">
        <v>48</v>
      </c>
      <c r="C70" t="s">
        <v>46</v>
      </c>
      <c r="D70" t="s">
        <v>60</v>
      </c>
      <c r="E70" t="s">
        <v>134</v>
      </c>
      <c r="F70" t="s">
        <v>134</v>
      </c>
    </row>
    <row r="71" spans="1:6" x14ac:dyDescent="0.2">
      <c r="A71" t="s">
        <v>20</v>
      </c>
      <c r="B71" t="s">
        <v>49</v>
      </c>
      <c r="C71" t="s">
        <v>46</v>
      </c>
      <c r="D71" t="s">
        <v>61</v>
      </c>
      <c r="E71" t="s">
        <v>134</v>
      </c>
      <c r="F71" t="s">
        <v>134</v>
      </c>
    </row>
    <row r="72" spans="1:6" x14ac:dyDescent="0.2">
      <c r="A72" t="s">
        <v>20</v>
      </c>
      <c r="B72" t="s">
        <v>56</v>
      </c>
      <c r="C72" t="s">
        <v>56</v>
      </c>
      <c r="E72" t="s">
        <v>134</v>
      </c>
      <c r="F72" t="s">
        <v>134</v>
      </c>
    </row>
    <row r="73" spans="1:6" x14ac:dyDescent="0.2">
      <c r="A73" t="s">
        <v>20</v>
      </c>
      <c r="B73" t="s">
        <v>57</v>
      </c>
      <c r="C73" t="s">
        <v>44</v>
      </c>
    </row>
    <row r="74" spans="1:6" x14ac:dyDescent="0.2">
      <c r="A74" t="s">
        <v>135</v>
      </c>
      <c r="B74" t="s">
        <v>56</v>
      </c>
      <c r="C74" t="s">
        <v>56</v>
      </c>
      <c r="E74" t="s">
        <v>134</v>
      </c>
      <c r="F74" t="s">
        <v>134</v>
      </c>
    </row>
    <row r="75" spans="1:6" x14ac:dyDescent="0.2">
      <c r="A75" t="s">
        <v>135</v>
      </c>
      <c r="B75" t="s">
        <v>137</v>
      </c>
      <c r="C75" t="s">
        <v>46</v>
      </c>
      <c r="D75" t="s">
        <v>138</v>
      </c>
      <c r="E75" t="s">
        <v>134</v>
      </c>
      <c r="F75" t="s">
        <v>134</v>
      </c>
    </row>
    <row r="76" spans="1:6" x14ac:dyDescent="0.2">
      <c r="A76" t="s">
        <v>135</v>
      </c>
      <c r="B76" t="s">
        <v>50</v>
      </c>
      <c r="C76" t="s">
        <v>46</v>
      </c>
      <c r="D76" t="s">
        <v>139</v>
      </c>
      <c r="E76" t="s">
        <v>134</v>
      </c>
      <c r="F76" t="s">
        <v>134</v>
      </c>
    </row>
    <row r="77" spans="1:6" x14ac:dyDescent="0.2">
      <c r="A77" t="s">
        <v>135</v>
      </c>
      <c r="B77" t="s">
        <v>57</v>
      </c>
      <c r="C77" t="s">
        <v>44</v>
      </c>
      <c r="E77" t="s">
        <v>134</v>
      </c>
      <c r="F77" t="s">
        <v>134</v>
      </c>
    </row>
  </sheetData>
  <phoneticPr fontId="1" type="noConversion"/>
  <hyperlinks>
    <hyperlink ref="J22" r:id="rId1" xr:uid="{46C24C8D-358E-884C-8AF0-EAE4F916D1F0}"/>
    <hyperlink ref="J23" r:id="rId2" xr:uid="{4D93F1CA-1295-3D4F-8BFE-0A30F914EAC3}"/>
    <hyperlink ref="J24" r:id="rId3" xr:uid="{8259CA7C-115B-1C44-907E-A6854E8C4E1A}"/>
  </hyperlinks>
  <pageMargins left="0.7" right="0.7" top="0.75" bottom="0.75" header="0.3" footer="0.3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7B6B4-C671-2042-A20D-91150790CF5F}">
  <dimension ref="A1:H54"/>
  <sheetViews>
    <sheetView zoomScale="116" workbookViewId="0">
      <selection activeCell="G13" sqref="G13"/>
    </sheetView>
  </sheetViews>
  <sheetFormatPr baseColWidth="10" defaultRowHeight="16" x14ac:dyDescent="0.2"/>
  <cols>
    <col min="6" max="6" width="13.83203125" bestFit="1" customWidth="1"/>
  </cols>
  <sheetData>
    <row r="1" spans="1:8" x14ac:dyDescent="0.2">
      <c r="A1" t="s">
        <v>110</v>
      </c>
      <c r="F1" t="s">
        <v>140</v>
      </c>
    </row>
    <row r="2" spans="1:8" x14ac:dyDescent="0.2">
      <c r="A2" t="s">
        <v>109</v>
      </c>
      <c r="B2">
        <v>64</v>
      </c>
      <c r="C2" t="s">
        <v>106</v>
      </c>
      <c r="F2" t="s">
        <v>141</v>
      </c>
      <c r="G2">
        <v>4</v>
      </c>
      <c r="H2" t="s">
        <v>114</v>
      </c>
    </row>
    <row r="3" spans="1:8" x14ac:dyDescent="0.2">
      <c r="A3" t="s">
        <v>111</v>
      </c>
      <c r="B3" s="5">
        <v>4</v>
      </c>
      <c r="C3" t="s">
        <v>114</v>
      </c>
      <c r="F3" t="s">
        <v>142</v>
      </c>
      <c r="G3">
        <f>HCLK/G2</f>
        <v>50</v>
      </c>
      <c r="H3" t="s">
        <v>106</v>
      </c>
    </row>
    <row r="4" spans="1:8" x14ac:dyDescent="0.2">
      <c r="A4" t="s">
        <v>112</v>
      </c>
      <c r="B4" s="5">
        <v>50</v>
      </c>
      <c r="C4" t="s">
        <v>115</v>
      </c>
    </row>
    <row r="5" spans="1:8" x14ac:dyDescent="0.2">
      <c r="A5" t="s">
        <v>113</v>
      </c>
      <c r="B5" s="5">
        <v>2</v>
      </c>
      <c r="C5" t="s">
        <v>114</v>
      </c>
    </row>
    <row r="6" spans="1:8" x14ac:dyDescent="0.2">
      <c r="F6" t="s">
        <v>144</v>
      </c>
    </row>
    <row r="7" spans="1:8" x14ac:dyDescent="0.2">
      <c r="A7" t="s">
        <v>116</v>
      </c>
      <c r="B7" s="6">
        <f>B2/B3*B4/B5</f>
        <v>400</v>
      </c>
      <c r="C7" t="s">
        <v>106</v>
      </c>
      <c r="F7" t="s">
        <v>143</v>
      </c>
      <c r="G7">
        <v>4</v>
      </c>
      <c r="H7" t="s">
        <v>107</v>
      </c>
    </row>
    <row r="8" spans="1:8" x14ac:dyDescent="0.2">
      <c r="A8" t="s">
        <v>124</v>
      </c>
      <c r="B8" s="5">
        <v>2</v>
      </c>
      <c r="C8" t="s">
        <v>114</v>
      </c>
      <c r="F8" t="s">
        <v>145</v>
      </c>
      <c r="G8">
        <v>16</v>
      </c>
    </row>
    <row r="9" spans="1:8" x14ac:dyDescent="0.2">
      <c r="A9" t="s">
        <v>123</v>
      </c>
      <c r="B9" s="6">
        <f>SYSCLK/B8</f>
        <v>200</v>
      </c>
    </row>
    <row r="10" spans="1:8" x14ac:dyDescent="0.2">
      <c r="F10" t="s">
        <v>146</v>
      </c>
      <c r="G10">
        <f>G7*G8</f>
        <v>64</v>
      </c>
      <c r="H10" t="s">
        <v>107</v>
      </c>
    </row>
    <row r="11" spans="1:8" x14ac:dyDescent="0.2">
      <c r="A11" t="s">
        <v>117</v>
      </c>
      <c r="B11" t="s">
        <v>129</v>
      </c>
      <c r="F11" t="s">
        <v>147</v>
      </c>
      <c r="G11">
        <f>1/G10*1000</f>
        <v>15.625</v>
      </c>
      <c r="H11" t="s">
        <v>108</v>
      </c>
    </row>
    <row r="12" spans="1:8" x14ac:dyDescent="0.2">
      <c r="A12" t="s">
        <v>125</v>
      </c>
      <c r="B12" s="5">
        <v>4</v>
      </c>
      <c r="C12" t="s">
        <v>107</v>
      </c>
    </row>
    <row r="13" spans="1:8" x14ac:dyDescent="0.2">
      <c r="B13">
        <f>B12/1000</f>
        <v>4.0000000000000001E-3</v>
      </c>
      <c r="C13" t="s">
        <v>106</v>
      </c>
      <c r="F13" t="s">
        <v>148</v>
      </c>
      <c r="G13">
        <v>64.5</v>
      </c>
    </row>
    <row r="14" spans="1:8" x14ac:dyDescent="0.2">
      <c r="A14" t="s">
        <v>126</v>
      </c>
      <c r="B14">
        <f>HCLK/B13</f>
        <v>50000</v>
      </c>
      <c r="G14">
        <v>8.5</v>
      </c>
    </row>
    <row r="15" spans="1:8" x14ac:dyDescent="0.2">
      <c r="A15" t="s">
        <v>118</v>
      </c>
      <c r="B15" s="5">
        <v>249</v>
      </c>
      <c r="F15" t="s">
        <v>149</v>
      </c>
      <c r="G15">
        <f>G14+G13</f>
        <v>73</v>
      </c>
      <c r="H15" t="s">
        <v>150</v>
      </c>
    </row>
    <row r="16" spans="1:8" x14ac:dyDescent="0.2">
      <c r="A16" t="s">
        <v>119</v>
      </c>
      <c r="B16" s="6">
        <f>B14/(B15+1)-1</f>
        <v>199</v>
      </c>
      <c r="F16" t="s">
        <v>151</v>
      </c>
      <c r="G16">
        <f>1/$G$3*G15</f>
        <v>1.46</v>
      </c>
      <c r="H16" t="s">
        <v>108</v>
      </c>
    </row>
    <row r="17" spans="1:8" x14ac:dyDescent="0.2">
      <c r="F17" t="s">
        <v>152</v>
      </c>
      <c r="G17">
        <f>G16*4</f>
        <v>5.84</v>
      </c>
      <c r="H17" t="s">
        <v>108</v>
      </c>
    </row>
    <row r="18" spans="1:8" x14ac:dyDescent="0.2">
      <c r="A18" t="s">
        <v>120</v>
      </c>
      <c r="B18">
        <f>HCLK/(B15+1)/(B16+1)</f>
        <v>4.0000000000000001E-3</v>
      </c>
      <c r="C18" t="s">
        <v>106</v>
      </c>
    </row>
    <row r="19" spans="1:8" x14ac:dyDescent="0.2">
      <c r="B19">
        <f>B18*1000</f>
        <v>4</v>
      </c>
      <c r="C19" t="s">
        <v>107</v>
      </c>
    </row>
    <row r="20" spans="1:8" x14ac:dyDescent="0.2">
      <c r="F20" t="s">
        <v>153</v>
      </c>
    </row>
    <row r="21" spans="1:8" x14ac:dyDescent="0.2">
      <c r="F21" t="s">
        <v>143</v>
      </c>
      <c r="G21">
        <v>8</v>
      </c>
      <c r="H21" t="s">
        <v>107</v>
      </c>
    </row>
    <row r="22" spans="1:8" x14ac:dyDescent="0.2">
      <c r="A22" t="s">
        <v>121</v>
      </c>
      <c r="B22" t="s">
        <v>128</v>
      </c>
      <c r="F22" t="s">
        <v>145</v>
      </c>
      <c r="G22">
        <v>4</v>
      </c>
    </row>
    <row r="23" spans="1:8" x14ac:dyDescent="0.2">
      <c r="A23" t="s">
        <v>125</v>
      </c>
      <c r="B23" s="5">
        <v>8</v>
      </c>
      <c r="C23" t="s">
        <v>107</v>
      </c>
    </row>
    <row r="24" spans="1:8" x14ac:dyDescent="0.2">
      <c r="B24">
        <f>B23/1000</f>
        <v>8.0000000000000002E-3</v>
      </c>
      <c r="C24" t="s">
        <v>106</v>
      </c>
      <c r="F24" t="s">
        <v>146</v>
      </c>
      <c r="G24">
        <f>G21*G22</f>
        <v>32</v>
      </c>
      <c r="H24" t="s">
        <v>107</v>
      </c>
    </row>
    <row r="25" spans="1:8" x14ac:dyDescent="0.2">
      <c r="A25" t="s">
        <v>126</v>
      </c>
      <c r="B25">
        <f>HCLK/B24</f>
        <v>25000</v>
      </c>
      <c r="F25" t="s">
        <v>147</v>
      </c>
      <c r="G25">
        <f>1/G24*1000</f>
        <v>31.25</v>
      </c>
      <c r="H25" t="s">
        <v>108</v>
      </c>
    </row>
    <row r="26" spans="1:8" x14ac:dyDescent="0.2">
      <c r="A26" t="s">
        <v>118</v>
      </c>
      <c r="B26" s="5">
        <v>249</v>
      </c>
    </row>
    <row r="27" spans="1:8" x14ac:dyDescent="0.2">
      <c r="A27" t="s">
        <v>119</v>
      </c>
      <c r="B27" s="6">
        <f>B25/(B26+1)-1</f>
        <v>99</v>
      </c>
      <c r="F27" t="s">
        <v>148</v>
      </c>
      <c r="G27">
        <v>64.5</v>
      </c>
    </row>
    <row r="28" spans="1:8" x14ac:dyDescent="0.2">
      <c r="G28">
        <v>8.5</v>
      </c>
    </row>
    <row r="29" spans="1:8" x14ac:dyDescent="0.2">
      <c r="A29" t="s">
        <v>120</v>
      </c>
      <c r="B29">
        <f>HCLK/(B26+1)/(B27+1)</f>
        <v>8.0000000000000002E-3</v>
      </c>
      <c r="C29" t="s">
        <v>106</v>
      </c>
      <c r="F29" t="s">
        <v>149</v>
      </c>
      <c r="G29">
        <f>G28+G27</f>
        <v>73</v>
      </c>
      <c r="H29" t="s">
        <v>150</v>
      </c>
    </row>
    <row r="30" spans="1:8" x14ac:dyDescent="0.2">
      <c r="B30">
        <f>B29*1000</f>
        <v>8</v>
      </c>
      <c r="C30" t="s">
        <v>107</v>
      </c>
      <c r="F30" t="s">
        <v>151</v>
      </c>
      <c r="G30">
        <f>1/$G$3*G29</f>
        <v>1.46</v>
      </c>
      <c r="H30" t="s">
        <v>108</v>
      </c>
    </row>
    <row r="31" spans="1:8" x14ac:dyDescent="0.2">
      <c r="F31" t="s">
        <v>152</v>
      </c>
      <c r="G31">
        <f>G30*4</f>
        <v>5.84</v>
      </c>
      <c r="H31" t="s">
        <v>108</v>
      </c>
    </row>
    <row r="33" spans="1:8" x14ac:dyDescent="0.2">
      <c r="A33" t="s">
        <v>122</v>
      </c>
      <c r="B33" t="s">
        <v>127</v>
      </c>
      <c r="F33" t="s">
        <v>154</v>
      </c>
    </row>
    <row r="34" spans="1:8" x14ac:dyDescent="0.2">
      <c r="A34" t="s">
        <v>125</v>
      </c>
      <c r="B34" s="5">
        <v>64</v>
      </c>
      <c r="C34" t="s">
        <v>107</v>
      </c>
      <c r="F34" t="s">
        <v>143</v>
      </c>
      <c r="G34">
        <v>2</v>
      </c>
      <c r="H34" t="s">
        <v>107</v>
      </c>
    </row>
    <row r="35" spans="1:8" x14ac:dyDescent="0.2">
      <c r="B35">
        <f>B34/1000</f>
        <v>6.4000000000000001E-2</v>
      </c>
      <c r="C35" t="s">
        <v>106</v>
      </c>
      <c r="F35" t="s">
        <v>145</v>
      </c>
      <c r="G35">
        <v>4</v>
      </c>
    </row>
    <row r="36" spans="1:8" x14ac:dyDescent="0.2">
      <c r="A36" t="s">
        <v>126</v>
      </c>
      <c r="B36">
        <f>HCLK/B35</f>
        <v>3125</v>
      </c>
    </row>
    <row r="37" spans="1:8" x14ac:dyDescent="0.2">
      <c r="A37" t="s">
        <v>118</v>
      </c>
      <c r="B37" s="5">
        <v>124</v>
      </c>
      <c r="F37" t="s">
        <v>146</v>
      </c>
      <c r="G37">
        <f>G34*G35</f>
        <v>8</v>
      </c>
      <c r="H37" t="s">
        <v>107</v>
      </c>
    </row>
    <row r="38" spans="1:8" x14ac:dyDescent="0.2">
      <c r="A38" t="s">
        <v>119</v>
      </c>
      <c r="B38" s="6">
        <f>B36/(B37+1)-1</f>
        <v>24</v>
      </c>
      <c r="F38" t="s">
        <v>147</v>
      </c>
      <c r="G38">
        <f>1/G37*1000</f>
        <v>125</v>
      </c>
      <c r="H38" t="s">
        <v>108</v>
      </c>
    </row>
    <row r="40" spans="1:8" x14ac:dyDescent="0.2">
      <c r="A40" t="s">
        <v>120</v>
      </c>
      <c r="B40">
        <f>HCLK/(B37+1)/(B38+1)</f>
        <v>6.4000000000000001E-2</v>
      </c>
      <c r="C40" t="s">
        <v>106</v>
      </c>
      <c r="F40" t="s">
        <v>148</v>
      </c>
      <c r="G40">
        <v>810.5</v>
      </c>
    </row>
    <row r="41" spans="1:8" x14ac:dyDescent="0.2">
      <c r="B41">
        <f>B40*1000</f>
        <v>64</v>
      </c>
      <c r="C41" t="s">
        <v>107</v>
      </c>
      <c r="G41">
        <v>8.5</v>
      </c>
    </row>
    <row r="42" spans="1:8" x14ac:dyDescent="0.2">
      <c r="F42" t="s">
        <v>149</v>
      </c>
      <c r="G42">
        <f>G41+G40</f>
        <v>819</v>
      </c>
      <c r="H42" t="s">
        <v>150</v>
      </c>
    </row>
    <row r="43" spans="1:8" x14ac:dyDescent="0.2">
      <c r="F43" t="s">
        <v>151</v>
      </c>
      <c r="G43">
        <f>1/$G$3*G42</f>
        <v>16.38</v>
      </c>
      <c r="H43" t="s">
        <v>108</v>
      </c>
    </row>
    <row r="44" spans="1:8" x14ac:dyDescent="0.2">
      <c r="F44" t="s">
        <v>152</v>
      </c>
      <c r="G44">
        <f>G43*5</f>
        <v>81.899999999999991</v>
      </c>
      <c r="H44" t="s">
        <v>108</v>
      </c>
    </row>
    <row r="46" spans="1:8" x14ac:dyDescent="0.2">
      <c r="A46" t="s">
        <v>130</v>
      </c>
      <c r="B46" t="s">
        <v>80</v>
      </c>
    </row>
    <row r="47" spans="1:8" x14ac:dyDescent="0.2">
      <c r="A47" t="s">
        <v>125</v>
      </c>
      <c r="B47" s="5">
        <v>16</v>
      </c>
      <c r="C47" t="s">
        <v>107</v>
      </c>
    </row>
    <row r="48" spans="1:8" x14ac:dyDescent="0.2">
      <c r="B48">
        <f>B47/1000</f>
        <v>1.6E-2</v>
      </c>
      <c r="C48" t="s">
        <v>106</v>
      </c>
    </row>
    <row r="49" spans="1:3" x14ac:dyDescent="0.2">
      <c r="A49" t="s">
        <v>126</v>
      </c>
      <c r="B49">
        <f>HCLK/B48</f>
        <v>12500</v>
      </c>
    </row>
    <row r="50" spans="1:3" x14ac:dyDescent="0.2">
      <c r="A50" t="s">
        <v>118</v>
      </c>
      <c r="B50" s="5">
        <v>4</v>
      </c>
    </row>
    <row r="51" spans="1:3" x14ac:dyDescent="0.2">
      <c r="A51" t="s">
        <v>119</v>
      </c>
      <c r="B51" s="6">
        <f>B49/(B50+1)-1</f>
        <v>2499</v>
      </c>
    </row>
    <row r="53" spans="1:3" x14ac:dyDescent="0.2">
      <c r="A53" t="s">
        <v>120</v>
      </c>
      <c r="B53">
        <f>HCLK/(B50+1)/(B51+1)</f>
        <v>1.6E-2</v>
      </c>
      <c r="C53" t="s">
        <v>106</v>
      </c>
    </row>
    <row r="54" spans="1:3" x14ac:dyDescent="0.2">
      <c r="B54">
        <f>B53*1000</f>
        <v>16</v>
      </c>
      <c r="C54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2</vt:i4>
      </vt:variant>
    </vt:vector>
  </HeadingPairs>
  <TitlesOfParts>
    <vt:vector size="4" baseType="lpstr">
      <vt:lpstr>PINOUT</vt:lpstr>
      <vt:lpstr>Clock settings</vt:lpstr>
      <vt:lpstr>HCLK</vt:lpstr>
      <vt:lpstr>SYSCLK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karadeli</dc:creator>
  <cp:lastModifiedBy>mustafa karadeli</cp:lastModifiedBy>
  <dcterms:created xsi:type="dcterms:W3CDTF">2026-04-29T19:52:57Z</dcterms:created>
  <dcterms:modified xsi:type="dcterms:W3CDTF">2026-05-12T16:19:42Z</dcterms:modified>
</cp:coreProperties>
</file>